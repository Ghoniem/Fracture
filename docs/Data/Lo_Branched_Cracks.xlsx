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ocuments\Repos\Fracture\VCM_1_1\docs\Literature\"/>
    </mc:Choice>
  </mc:AlternateContent>
  <xr:revisionPtr revIDLastSave="0" documentId="13_ncr:1_{26F19F27-9652-493D-9A78-E2510583C415}" xr6:coauthVersionLast="47" xr6:coauthVersionMax="47" xr10:uidLastSave="{00000000-0000-0000-0000-000000000000}"/>
  <bookViews>
    <workbookView xWindow="-110" yWindow="-110" windowWidth="38620" windowHeight="21100" activeTab="5" xr2:uid="{4CA68F35-026C-4A74-BE1D-7C9A5571EED9}"/>
  </bookViews>
  <sheets>
    <sheet name="K_I_AS" sheetId="1" r:id="rId1"/>
    <sheet name="K_I_DS" sheetId="2" r:id="rId2"/>
    <sheet name="K_I_S" sheetId="3" r:id="rId3"/>
    <sheet name="K_II_AS" sheetId="4" r:id="rId4"/>
    <sheet name="K_II_DS" sheetId="5" r:id="rId5"/>
    <sheet name="K_II_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" i="6" l="1"/>
  <c r="A11" i="6"/>
  <c r="A10" i="6"/>
  <c r="A9" i="6"/>
  <c r="A8" i="6"/>
  <c r="A7" i="6"/>
  <c r="A6" i="6"/>
  <c r="A5" i="6"/>
  <c r="A4" i="6"/>
  <c r="A3" i="6"/>
  <c r="A2" i="6"/>
  <c r="A12" i="5"/>
  <c r="A11" i="5"/>
  <c r="A10" i="5"/>
  <c r="A9" i="5"/>
  <c r="A8" i="5"/>
  <c r="A7" i="5"/>
  <c r="A6" i="5"/>
  <c r="A5" i="5"/>
  <c r="A4" i="5"/>
  <c r="A3" i="5"/>
  <c r="A2" i="5"/>
  <c r="A12" i="4"/>
  <c r="A11" i="4"/>
  <c r="A10" i="4"/>
  <c r="A9" i="4"/>
  <c r="A8" i="4"/>
  <c r="A7" i="4"/>
  <c r="A6" i="4"/>
  <c r="A5" i="4"/>
  <c r="A4" i="4"/>
  <c r="A3" i="4"/>
  <c r="A2" i="4"/>
  <c r="A12" i="3"/>
  <c r="A11" i="3"/>
  <c r="A10" i="3"/>
  <c r="A9" i="3"/>
  <c r="A8" i="3"/>
  <c r="A7" i="3"/>
  <c r="A6" i="3"/>
  <c r="A5" i="3"/>
  <c r="A4" i="3"/>
  <c r="A3" i="3"/>
  <c r="A2" i="3"/>
  <c r="A13" i="1"/>
  <c r="A12" i="1"/>
  <c r="A11" i="1"/>
  <c r="A10" i="1"/>
  <c r="A9" i="1"/>
  <c r="A8" i="1"/>
  <c r="A7" i="1"/>
  <c r="A6" i="1"/>
  <c r="A5" i="1"/>
  <c r="A4" i="1"/>
  <c r="A3" i="1"/>
  <c r="A2" i="1"/>
  <c r="A14" i="2"/>
  <c r="A13" i="2"/>
  <c r="A12" i="2"/>
  <c r="A11" i="2"/>
  <c r="A10" i="2"/>
  <c r="A9" i="2"/>
  <c r="A8" i="2"/>
  <c r="A7" i="2"/>
  <c r="A6" i="2"/>
  <c r="A5" i="2"/>
  <c r="A4" i="2"/>
  <c r="A3" i="2"/>
  <c r="A2" i="2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C68D2-8442-41C5-994A-F8C430C3B4C5}">
  <dimension ref="A2:K13"/>
  <sheetViews>
    <sheetView workbookViewId="0">
      <selection activeCell="D28" sqref="D28"/>
    </sheetView>
  </sheetViews>
  <sheetFormatPr defaultRowHeight="14.5" x14ac:dyDescent="0.35"/>
  <cols>
    <col min="1" max="1" width="11.81640625" bestFit="1" customWidth="1"/>
  </cols>
  <sheetData>
    <row r="2" spans="1:11" x14ac:dyDescent="0.35">
      <c r="A2">
        <f>10^J2</f>
        <v>0.97614705596296902</v>
      </c>
      <c r="B2">
        <v>1.15264847512038</v>
      </c>
      <c r="J2">
        <v>-1.04847512038509E-2</v>
      </c>
      <c r="K2">
        <v>1.15264847512038</v>
      </c>
    </row>
    <row r="3" spans="1:11" x14ac:dyDescent="0.35">
      <c r="A3">
        <f t="shared" ref="A3:A13" si="0">10^J3</f>
        <v>1.1437657267445089</v>
      </c>
      <c r="B3">
        <v>1.12696629213483</v>
      </c>
      <c r="J3">
        <v>5.8337078651686698E-2</v>
      </c>
      <c r="K3">
        <v>1.12696629213483</v>
      </c>
    </row>
    <row r="4" spans="1:11" x14ac:dyDescent="0.35">
      <c r="A4">
        <f t="shared" si="0"/>
        <v>1.3781209010371576</v>
      </c>
      <c r="B4">
        <v>1.0972712680577801</v>
      </c>
      <c r="J4">
        <v>0.139287319422152</v>
      </c>
      <c r="K4">
        <v>1.0972712680577801</v>
      </c>
    </row>
    <row r="5" spans="1:11" x14ac:dyDescent="0.35">
      <c r="A5">
        <f t="shared" si="0"/>
        <v>1.8901417803979321</v>
      </c>
      <c r="B5">
        <v>1.0595505617977501</v>
      </c>
      <c r="J5">
        <v>0.27649438202247301</v>
      </c>
      <c r="K5">
        <v>1.0595505617977501</v>
      </c>
    </row>
    <row r="6" spans="1:11" x14ac:dyDescent="0.35">
      <c r="A6">
        <f t="shared" si="0"/>
        <v>2.4508470657667196</v>
      </c>
      <c r="B6">
        <v>1.0338683788122001</v>
      </c>
      <c r="J6">
        <v>0.38931621187801002</v>
      </c>
      <c r="K6">
        <v>1.0338683788122001</v>
      </c>
    </row>
    <row r="7" spans="1:11" x14ac:dyDescent="0.35">
      <c r="A7">
        <f t="shared" si="0"/>
        <v>3.3262758789547453</v>
      </c>
      <c r="B7">
        <v>1.0138041733547301</v>
      </c>
      <c r="J7">
        <v>0.52195826645264998</v>
      </c>
      <c r="K7">
        <v>1.0138041733547301</v>
      </c>
    </row>
    <row r="8" spans="1:11" x14ac:dyDescent="0.35">
      <c r="A8">
        <f t="shared" si="0"/>
        <v>4.9036930169790498</v>
      </c>
      <c r="B8">
        <v>0.99614767255216696</v>
      </c>
      <c r="J8">
        <v>0.69052327447833195</v>
      </c>
      <c r="K8">
        <v>0.99614767255216696</v>
      </c>
    </row>
    <row r="9" spans="1:11" x14ac:dyDescent="0.35">
      <c r="A9">
        <f t="shared" si="0"/>
        <v>7.5658398279876709</v>
      </c>
      <c r="B9">
        <v>0.98571428571428499</v>
      </c>
      <c r="J9">
        <v>0.878857142857144</v>
      </c>
      <c r="K9">
        <v>0.98571428571428499</v>
      </c>
    </row>
    <row r="10" spans="1:11" x14ac:dyDescent="0.35">
      <c r="A10">
        <f t="shared" si="0"/>
        <v>12.562853128783864</v>
      </c>
      <c r="B10">
        <v>0.97849117174959799</v>
      </c>
      <c r="J10">
        <v>1.09908828250401</v>
      </c>
      <c r="K10">
        <v>0.97849117174959799</v>
      </c>
    </row>
    <row r="11" spans="1:11" x14ac:dyDescent="0.35">
      <c r="A11">
        <f t="shared" si="0"/>
        <v>44.801622254553351</v>
      </c>
      <c r="B11">
        <v>0.97207062600321004</v>
      </c>
      <c r="J11">
        <v>1.6512937399679</v>
      </c>
      <c r="K11">
        <v>0.97207062600321004</v>
      </c>
    </row>
    <row r="12" spans="1:11" x14ac:dyDescent="0.35">
      <c r="A12">
        <f t="shared" si="0"/>
        <v>285.36221587689744</v>
      </c>
      <c r="B12">
        <v>0.96886035313001595</v>
      </c>
      <c r="J12">
        <v>2.4553964686998402</v>
      </c>
      <c r="K12">
        <v>0.96886035313001595</v>
      </c>
    </row>
    <row r="13" spans="1:11" x14ac:dyDescent="0.35">
      <c r="A13">
        <f t="shared" si="0"/>
        <v>1292.3985696658128</v>
      </c>
      <c r="B13">
        <v>0.96886035313001595</v>
      </c>
      <c r="J13">
        <v>3.1113964686998399</v>
      </c>
      <c r="K13">
        <v>0.96886035313001595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78F30-2DFC-497B-8831-5C2805434879}">
  <dimension ref="A2:I14"/>
  <sheetViews>
    <sheetView workbookViewId="0">
      <selection activeCell="B2" sqref="B2:B14"/>
    </sheetView>
  </sheetViews>
  <sheetFormatPr defaultRowHeight="14.5" x14ac:dyDescent="0.35"/>
  <cols>
    <col min="1" max="1" width="11.81640625" bestFit="1" customWidth="1"/>
  </cols>
  <sheetData>
    <row r="2" spans="1:9" x14ac:dyDescent="0.35">
      <c r="A2">
        <f>10^H2</f>
        <v>0.96681169247848864</v>
      </c>
      <c r="B2">
        <v>1.0330658105938999</v>
      </c>
      <c r="H2">
        <v>-1.46581059390034E-2</v>
      </c>
      <c r="I2">
        <v>1.0330658105938999</v>
      </c>
    </row>
    <row r="3" spans="1:9" x14ac:dyDescent="0.35">
      <c r="A3">
        <f t="shared" ref="A3:A14" si="0">10^H3</f>
        <v>1.1130062223395811</v>
      </c>
      <c r="B3">
        <v>0.99695024077046501</v>
      </c>
      <c r="H3">
        <v>4.6497592295347001E-2</v>
      </c>
      <c r="I3">
        <v>0.99695024077046501</v>
      </c>
    </row>
    <row r="4" spans="1:9" x14ac:dyDescent="0.35">
      <c r="A4">
        <f t="shared" si="0"/>
        <v>1.3426458589821264</v>
      </c>
      <c r="B4">
        <v>0.95120385232744697</v>
      </c>
      <c r="H4">
        <v>0.12796147672552299</v>
      </c>
      <c r="I4">
        <v>0.95120385232744697</v>
      </c>
    </row>
    <row r="5" spans="1:9" x14ac:dyDescent="0.35">
      <c r="A5">
        <f t="shared" si="0"/>
        <v>1.6793563359726709</v>
      </c>
      <c r="B5">
        <v>0.91428571428571404</v>
      </c>
      <c r="H5">
        <v>0.225142857142858</v>
      </c>
      <c r="I5">
        <v>0.91428571428571404</v>
      </c>
    </row>
    <row r="6" spans="1:9" x14ac:dyDescent="0.35">
      <c r="A6">
        <f t="shared" si="0"/>
        <v>2.1391793175872515</v>
      </c>
      <c r="B6">
        <v>0.87977528089887602</v>
      </c>
      <c r="H6">
        <v>0.33024719101123801</v>
      </c>
      <c r="I6">
        <v>0.87977528089887602</v>
      </c>
    </row>
    <row r="7" spans="1:9" x14ac:dyDescent="0.35">
      <c r="A7">
        <f t="shared" si="0"/>
        <v>2.9893905997134453</v>
      </c>
      <c r="B7">
        <v>0.83804173354735101</v>
      </c>
      <c r="H7">
        <v>0.47558266452648601</v>
      </c>
      <c r="I7">
        <v>0.83804173354735101</v>
      </c>
    </row>
    <row r="8" spans="1:9" x14ac:dyDescent="0.35">
      <c r="A8">
        <f t="shared" si="0"/>
        <v>4.1350573850102936</v>
      </c>
      <c r="B8">
        <v>0.80995184590690195</v>
      </c>
      <c r="H8">
        <v>0.61648154093097995</v>
      </c>
      <c r="I8">
        <v>0.80995184590690195</v>
      </c>
    </row>
    <row r="9" spans="1:9" x14ac:dyDescent="0.35">
      <c r="A9">
        <f t="shared" si="0"/>
        <v>6.2705173058826071</v>
      </c>
      <c r="B9">
        <v>0.78426966292134803</v>
      </c>
      <c r="H9">
        <v>0.79730337078651803</v>
      </c>
      <c r="I9">
        <v>0.78426966292134803</v>
      </c>
    </row>
    <row r="10" spans="1:9" x14ac:dyDescent="0.35">
      <c r="A10">
        <f t="shared" si="0"/>
        <v>10.231039070888828</v>
      </c>
      <c r="B10">
        <v>0.76500802568218196</v>
      </c>
      <c r="H10">
        <v>1.0099197431781699</v>
      </c>
      <c r="I10">
        <v>0.76500802568218196</v>
      </c>
    </row>
    <row r="11" spans="1:9" x14ac:dyDescent="0.35">
      <c r="A11">
        <f t="shared" si="0"/>
        <v>17.317482251438445</v>
      </c>
      <c r="B11">
        <v>0.74735152487961398</v>
      </c>
      <c r="H11">
        <v>1.2384847512038499</v>
      </c>
      <c r="I11">
        <v>0.74735152487961398</v>
      </c>
    </row>
    <row r="12" spans="1:9" x14ac:dyDescent="0.35">
      <c r="A12">
        <f t="shared" si="0"/>
        <v>39.347880912540376</v>
      </c>
      <c r="B12">
        <v>0.73370786516853903</v>
      </c>
      <c r="H12">
        <v>1.5949213483146101</v>
      </c>
      <c r="I12">
        <v>0.73370786516853903</v>
      </c>
    </row>
    <row r="13" spans="1:9" x14ac:dyDescent="0.35">
      <c r="A13">
        <f t="shared" si="0"/>
        <v>208.50996038915457</v>
      </c>
      <c r="B13">
        <v>0.72728731942214997</v>
      </c>
      <c r="H13">
        <v>2.31912680577849</v>
      </c>
      <c r="I13">
        <v>0.72728731942214997</v>
      </c>
    </row>
    <row r="14" spans="1:9" x14ac:dyDescent="0.35">
      <c r="A14">
        <f t="shared" si="0"/>
        <v>961.89309198405658</v>
      </c>
      <c r="B14">
        <v>0.72728731942214997</v>
      </c>
      <c r="H14">
        <v>2.9831268057784901</v>
      </c>
      <c r="I14">
        <v>0.72728731942214997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A2B95-51E1-4775-909E-1B4BC90F41E7}">
  <dimension ref="A2:I12"/>
  <sheetViews>
    <sheetView workbookViewId="0">
      <selection activeCell="D10" sqref="D10"/>
    </sheetView>
  </sheetViews>
  <sheetFormatPr defaultRowHeight="14.5" x14ac:dyDescent="0.35"/>
  <sheetData>
    <row r="2" spans="1:9" x14ac:dyDescent="0.35">
      <c r="A2">
        <f>10^H2</f>
        <v>0.9771577638638248</v>
      </c>
      <c r="B2">
        <v>0.88860353130016001</v>
      </c>
      <c r="H2">
        <v>-1.00353130016037E-2</v>
      </c>
      <c r="I2">
        <v>0.88860353130016001</v>
      </c>
    </row>
    <row r="3" spans="1:9" x14ac:dyDescent="0.35">
      <c r="A3">
        <f t="shared" ref="A3:A12" si="0">10^H3</f>
        <v>1.2215603500935461</v>
      </c>
      <c r="B3">
        <v>0.85890850722311396</v>
      </c>
      <c r="H3">
        <v>8.6914927768862102E-2</v>
      </c>
      <c r="I3">
        <v>0.85890850722311396</v>
      </c>
    </row>
    <row r="4" spans="1:9" x14ac:dyDescent="0.35">
      <c r="A4">
        <f t="shared" si="0"/>
        <v>1.7544769728065088</v>
      </c>
      <c r="B4">
        <v>0.82038523274478303</v>
      </c>
      <c r="H4">
        <v>0.24414767255216899</v>
      </c>
      <c r="I4">
        <v>0.82038523274478303</v>
      </c>
    </row>
    <row r="5" spans="1:9" x14ac:dyDescent="0.35">
      <c r="A5">
        <f t="shared" si="0"/>
        <v>2.4948621192538822</v>
      </c>
      <c r="B5">
        <v>0.79229534510433297</v>
      </c>
      <c r="H5">
        <v>0.39704654895666203</v>
      </c>
      <c r="I5">
        <v>0.79229534510433297</v>
      </c>
    </row>
    <row r="6" spans="1:9" x14ac:dyDescent="0.35">
      <c r="A6">
        <f t="shared" si="0"/>
        <v>4.855432594088521</v>
      </c>
      <c r="B6">
        <v>0.75537720706260003</v>
      </c>
      <c r="H6">
        <v>0.68622792937399901</v>
      </c>
      <c r="I6">
        <v>0.75537720706260003</v>
      </c>
    </row>
    <row r="7" spans="1:9" x14ac:dyDescent="0.35">
      <c r="A7">
        <f t="shared" si="0"/>
        <v>8.9293247809338396</v>
      </c>
      <c r="B7">
        <v>0.73691813804173301</v>
      </c>
      <c r="H7">
        <v>0.950818619582666</v>
      </c>
      <c r="I7">
        <v>0.73691813804173301</v>
      </c>
    </row>
    <row r="8" spans="1:9" x14ac:dyDescent="0.35">
      <c r="A8">
        <f t="shared" si="0"/>
        <v>20.468001560566591</v>
      </c>
      <c r="B8">
        <v>0.72889245585874796</v>
      </c>
      <c r="H8">
        <v>1.3110754414125201</v>
      </c>
      <c r="I8">
        <v>0.72889245585874796</v>
      </c>
    </row>
    <row r="9" spans="1:9" x14ac:dyDescent="0.35">
      <c r="A9">
        <f t="shared" si="0"/>
        <v>60.687762197293885</v>
      </c>
      <c r="B9">
        <v>0.72808988764044902</v>
      </c>
      <c r="H9">
        <v>1.7831011235955101</v>
      </c>
      <c r="I9">
        <v>0.72808988764044902</v>
      </c>
    </row>
    <row r="10" spans="1:9" x14ac:dyDescent="0.35">
      <c r="A10">
        <f t="shared" si="0"/>
        <v>178.28992643366996</v>
      </c>
      <c r="B10">
        <v>0.72728731942214997</v>
      </c>
      <c r="H10">
        <v>2.2511268057784899</v>
      </c>
      <c r="I10">
        <v>0.72728731942214997</v>
      </c>
    </row>
    <row r="11" spans="1:9" x14ac:dyDescent="0.35">
      <c r="A11">
        <f t="shared" si="0"/>
        <v>703.3608158259766</v>
      </c>
      <c r="B11">
        <v>0.72568218298555298</v>
      </c>
      <c r="H11">
        <v>2.8471781701444598</v>
      </c>
      <c r="I11">
        <v>0.72568218298555298</v>
      </c>
    </row>
    <row r="12" spans="1:9" x14ac:dyDescent="0.35">
      <c r="A12">
        <f t="shared" si="0"/>
        <v>1567.301278859205</v>
      </c>
      <c r="B12">
        <v>0.72648475120385203</v>
      </c>
      <c r="H12">
        <v>3.1951524879614799</v>
      </c>
      <c r="I12">
        <v>0.72648475120385203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2D6FD-2153-4194-AB5A-795586268A88}">
  <dimension ref="A2:I12"/>
  <sheetViews>
    <sheetView workbookViewId="0">
      <selection activeCell="B2" sqref="B2:B12"/>
    </sheetView>
  </sheetViews>
  <sheetFormatPr defaultRowHeight="14.5" x14ac:dyDescent="0.35"/>
  <sheetData>
    <row r="2" spans="1:9" x14ac:dyDescent="0.35">
      <c r="A2">
        <f>10^H2</f>
        <v>0.99022275233873325</v>
      </c>
      <c r="B2">
        <v>0.318712717484186</v>
      </c>
      <c r="H2">
        <v>-4.2670991097245497E-3</v>
      </c>
      <c r="I2">
        <v>0.318712717484186</v>
      </c>
    </row>
    <row r="3" spans="1:9" x14ac:dyDescent="0.35">
      <c r="A3">
        <f t="shared" ref="A3:A12" si="0">10^H3</f>
        <v>1.3627290900189815</v>
      </c>
      <c r="B3">
        <v>0.29142293968456801</v>
      </c>
      <c r="H3">
        <v>0.13440952685160101</v>
      </c>
      <c r="I3">
        <v>0.29142293968456801</v>
      </c>
    </row>
    <row r="4" spans="1:9" x14ac:dyDescent="0.35">
      <c r="A4">
        <f t="shared" si="0"/>
        <v>2.0025339673319009</v>
      </c>
      <c r="B4">
        <v>0.26414845027587402</v>
      </c>
      <c r="H4">
        <v>0.30157989139782199</v>
      </c>
      <c r="I4">
        <v>0.26414845027587402</v>
      </c>
    </row>
    <row r="5" spans="1:9" x14ac:dyDescent="0.35">
      <c r="A5">
        <f t="shared" si="0"/>
        <v>3.2623783103466479</v>
      </c>
      <c r="B5">
        <v>0.23609316090212401</v>
      </c>
      <c r="H5">
        <v>0.51353432107258901</v>
      </c>
      <c r="I5">
        <v>0.23609316090212401</v>
      </c>
    </row>
    <row r="6" spans="1:9" x14ac:dyDescent="0.35">
      <c r="A6">
        <f t="shared" si="0"/>
        <v>5.7820601657977395</v>
      </c>
      <c r="B6">
        <v>0.212081650927814</v>
      </c>
      <c r="H6">
        <v>0.76208260645224701</v>
      </c>
      <c r="I6">
        <v>0.212081650927814</v>
      </c>
    </row>
    <row r="7" spans="1:9" x14ac:dyDescent="0.35">
      <c r="A7">
        <f t="shared" si="0"/>
        <v>13.32412219727598</v>
      </c>
      <c r="B7">
        <v>0.184911996199743</v>
      </c>
      <c r="H7">
        <v>1.1246386070091801</v>
      </c>
      <c r="I7">
        <v>0.184911996199743</v>
      </c>
    </row>
    <row r="8" spans="1:9" x14ac:dyDescent="0.35">
      <c r="A8">
        <f t="shared" si="0"/>
        <v>33.400080398934726</v>
      </c>
      <c r="B8">
        <v>0.16581024376793299</v>
      </c>
      <c r="H8">
        <v>1.5237475122238899</v>
      </c>
      <c r="I8">
        <v>0.16581024376793299</v>
      </c>
    </row>
    <row r="9" spans="1:9" x14ac:dyDescent="0.35">
      <c r="A9">
        <f t="shared" si="0"/>
        <v>127.65764594600751</v>
      </c>
      <c r="B9">
        <v>0.14519712469047799</v>
      </c>
      <c r="H9">
        <v>2.1060468316174799</v>
      </c>
      <c r="I9">
        <v>0.14519712469047799</v>
      </c>
    </row>
    <row r="10" spans="1:9" x14ac:dyDescent="0.35">
      <c r="A10">
        <f t="shared" si="0"/>
        <v>329.02439976739083</v>
      </c>
      <c r="B10">
        <v>0.139783942275404</v>
      </c>
      <c r="H10">
        <v>2.5172281055226602</v>
      </c>
      <c r="I10">
        <v>0.139783942275404</v>
      </c>
    </row>
    <row r="11" spans="1:9" x14ac:dyDescent="0.35">
      <c r="A11">
        <f t="shared" si="0"/>
        <v>976.05790000430693</v>
      </c>
      <c r="B11">
        <v>0.13359869611865999</v>
      </c>
      <c r="H11">
        <v>2.9894755808906002</v>
      </c>
      <c r="I11">
        <v>0.13359869611865999</v>
      </c>
    </row>
    <row r="12" spans="1:9" x14ac:dyDescent="0.35">
      <c r="A12">
        <f t="shared" si="0"/>
        <v>1812.0225217221116</v>
      </c>
      <c r="B12">
        <v>0.130523545487058</v>
      </c>
      <c r="H12">
        <v>3.2581635912430298</v>
      </c>
      <c r="I12">
        <v>0.130523545487058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08F95-BAD6-4858-8E7D-CD41EDC3F018}">
  <dimension ref="A2:I12"/>
  <sheetViews>
    <sheetView workbookViewId="0">
      <selection activeCell="G14" sqref="G14"/>
    </sheetView>
  </sheetViews>
  <sheetFormatPr defaultRowHeight="14.5" x14ac:dyDescent="0.35"/>
  <sheetData>
    <row r="2" spans="1:9" x14ac:dyDescent="0.35">
      <c r="A2">
        <f>10^H2</f>
        <v>0.97666552462328271</v>
      </c>
      <c r="B2">
        <v>0.10703948499963099</v>
      </c>
      <c r="H2">
        <v>-1.0254142198416199E-2</v>
      </c>
      <c r="I2">
        <v>0.10703948499963099</v>
      </c>
    </row>
    <row r="3" spans="1:9" x14ac:dyDescent="0.35">
      <c r="A3">
        <f t="shared" ref="A3:A12" si="0">10^H3</f>
        <v>1.3822968717439426</v>
      </c>
      <c r="B3">
        <v>8.2975557685009999E-2</v>
      </c>
      <c r="H3">
        <v>0.140601325175884</v>
      </c>
      <c r="I3">
        <v>8.2975557685009999E-2</v>
      </c>
    </row>
    <row r="4" spans="1:9" x14ac:dyDescent="0.35">
      <c r="A4">
        <f t="shared" si="0"/>
        <v>1.7643414415330072</v>
      </c>
      <c r="B4">
        <v>6.8545500708453194E-2</v>
      </c>
      <c r="H4">
        <v>0.24658263511797901</v>
      </c>
      <c r="I4">
        <v>6.8545500708453194E-2</v>
      </c>
    </row>
    <row r="5" spans="1:9" x14ac:dyDescent="0.35">
      <c r="A5">
        <f t="shared" si="0"/>
        <v>2.5681780756606725</v>
      </c>
      <c r="B5">
        <v>4.69025992994642E-2</v>
      </c>
      <c r="H5">
        <v>0.40962513411467899</v>
      </c>
      <c r="I5">
        <v>4.69025992994642E-2</v>
      </c>
    </row>
    <row r="6" spans="1:9" x14ac:dyDescent="0.35">
      <c r="A6">
        <f t="shared" si="0"/>
        <v>4.0293973454622529</v>
      </c>
      <c r="B6">
        <v>2.4472345757881101E-2</v>
      </c>
      <c r="H6">
        <v>0.60524009598925399</v>
      </c>
      <c r="I6">
        <v>2.4472345757881101E-2</v>
      </c>
    </row>
    <row r="7" spans="1:9" x14ac:dyDescent="0.35">
      <c r="A7">
        <f t="shared" si="0"/>
        <v>7.9184096944853843</v>
      </c>
      <c r="B7">
        <v>-6.7585608163999601E-3</v>
      </c>
      <c r="H7">
        <v>0.89863796817284602</v>
      </c>
      <c r="I7">
        <v>-6.7585608163999601E-3</v>
      </c>
    </row>
    <row r="8" spans="1:9" x14ac:dyDescent="0.35">
      <c r="A8">
        <f t="shared" si="0"/>
        <v>13.773008165622729</v>
      </c>
      <c r="B8">
        <v>-2.9164789743673699E-2</v>
      </c>
      <c r="H8">
        <v>1.13902880496654</v>
      </c>
      <c r="I8">
        <v>-2.9164789743673699E-2</v>
      </c>
    </row>
    <row r="9" spans="1:9" x14ac:dyDescent="0.35">
      <c r="A9">
        <f t="shared" si="0"/>
        <v>31.146036363546354</v>
      </c>
      <c r="B9">
        <v>-5.2314689686615297E-2</v>
      </c>
      <c r="H9">
        <v>1.4934027863092501</v>
      </c>
      <c r="I9">
        <v>-5.2314689686615297E-2</v>
      </c>
    </row>
    <row r="10" spans="1:9" x14ac:dyDescent="0.35">
      <c r="A10">
        <f t="shared" si="0"/>
        <v>74.494851759386009</v>
      </c>
      <c r="B10">
        <v>-6.8208064080198597E-2</v>
      </c>
      <c r="H10">
        <v>1.8721262602684701</v>
      </c>
      <c r="I10">
        <v>-6.8208064080198597E-2</v>
      </c>
    </row>
    <row r="11" spans="1:9" x14ac:dyDescent="0.35">
      <c r="A11">
        <f t="shared" si="0"/>
        <v>221.02807816554011</v>
      </c>
      <c r="B11">
        <v>-8.1636731451223299E-2</v>
      </c>
      <c r="H11">
        <v>2.34444744752123</v>
      </c>
      <c r="I11">
        <v>-8.1636731451223299E-2</v>
      </c>
    </row>
    <row r="12" spans="1:9" x14ac:dyDescent="0.35">
      <c r="A12">
        <f t="shared" si="0"/>
        <v>990.4468689177462</v>
      </c>
      <c r="B12">
        <v>-9.0945177468187796E-2</v>
      </c>
      <c r="H12">
        <v>2.99583118340336</v>
      </c>
      <c r="I12">
        <v>-9.0945177468187796E-2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0ADFA-FC42-41BE-9489-A2F0EA53605D}">
  <dimension ref="A2:H12"/>
  <sheetViews>
    <sheetView tabSelected="1" workbookViewId="0">
      <selection activeCell="B2" sqref="B2:B12"/>
    </sheetView>
  </sheetViews>
  <sheetFormatPr defaultRowHeight="14.5" x14ac:dyDescent="0.35"/>
  <sheetData>
    <row r="2" spans="1:8" x14ac:dyDescent="0.35">
      <c r="A2">
        <f>10^G2</f>
        <v>0.99546537694603254</v>
      </c>
      <c r="B2">
        <v>9.3361835262127602E-2</v>
      </c>
      <c r="G2">
        <v>-1.97384047110099E-3</v>
      </c>
      <c r="H2">
        <v>9.3361835262127602E-2</v>
      </c>
    </row>
    <row r="3" spans="1:8" x14ac:dyDescent="0.35">
      <c r="A3">
        <f t="shared" ref="A3:A12" si="0">10^G3</f>
        <v>1.3069038650441074</v>
      </c>
      <c r="B3">
        <v>7.65238567150162E-2</v>
      </c>
      <c r="G3">
        <v>0.11624364234993401</v>
      </c>
      <c r="H3">
        <v>7.65238567150162E-2</v>
      </c>
    </row>
    <row r="4" spans="1:8" x14ac:dyDescent="0.35">
      <c r="A4">
        <f t="shared" si="0"/>
        <v>1.6838510675204064</v>
      </c>
      <c r="B4">
        <v>6.1291159214941202E-2</v>
      </c>
      <c r="G4">
        <v>0.22630367658500999</v>
      </c>
      <c r="H4">
        <v>6.1291159214941202E-2</v>
      </c>
    </row>
    <row r="5" spans="1:8" x14ac:dyDescent="0.35">
      <c r="A5">
        <f t="shared" si="0"/>
        <v>2.4509699428570397</v>
      </c>
      <c r="B5">
        <v>4.0453082385316697E-2</v>
      </c>
      <c r="G5">
        <v>0.38933798537228598</v>
      </c>
      <c r="H5">
        <v>4.0453082385316697E-2</v>
      </c>
    </row>
    <row r="6" spans="1:8" x14ac:dyDescent="0.35">
      <c r="A6">
        <f t="shared" si="0"/>
        <v>3.9183407937154557</v>
      </c>
      <c r="B6">
        <v>1.7222372376061799E-2</v>
      </c>
      <c r="G6">
        <v>0.59310220562339799</v>
      </c>
      <c r="H6">
        <v>1.7222372376061799E-2</v>
      </c>
    </row>
    <row r="7" spans="1:8" x14ac:dyDescent="0.35">
      <c r="A7">
        <f t="shared" si="0"/>
        <v>6.6264578552050155</v>
      </c>
      <c r="B7">
        <v>-5.19040871875093E-3</v>
      </c>
      <c r="G7">
        <v>0.82128144016642501</v>
      </c>
      <c r="H7">
        <v>-5.19040871875093E-3</v>
      </c>
    </row>
    <row r="8" spans="1:8" x14ac:dyDescent="0.35">
      <c r="A8">
        <f t="shared" si="0"/>
        <v>10.202297945360419</v>
      </c>
      <c r="B8">
        <v>-2.19912583164752E-2</v>
      </c>
      <c r="G8">
        <v>1.00869800240792</v>
      </c>
      <c r="H8">
        <v>-2.19912583164752E-2</v>
      </c>
    </row>
    <row r="9" spans="1:8" x14ac:dyDescent="0.35">
      <c r="A9">
        <f t="shared" si="0"/>
        <v>31.440518589470923</v>
      </c>
      <c r="B9">
        <v>-5.3922154789497898E-2</v>
      </c>
      <c r="G9">
        <v>1.4974897008116499</v>
      </c>
      <c r="H9">
        <v>-5.3922154789497898E-2</v>
      </c>
    </row>
    <row r="10" spans="1:8" x14ac:dyDescent="0.35">
      <c r="A10">
        <f t="shared" si="0"/>
        <v>84.948299289826778</v>
      </c>
      <c r="B10">
        <v>-7.2201610195172697E-2</v>
      </c>
      <c r="G10">
        <v>1.9291546884853801</v>
      </c>
      <c r="H10">
        <v>-7.2201610195172697E-2</v>
      </c>
    </row>
    <row r="11" spans="1:8" x14ac:dyDescent="0.35">
      <c r="A11">
        <f t="shared" si="0"/>
        <v>261.66752213394062</v>
      </c>
      <c r="B11">
        <v>-8.4816716763447805E-2</v>
      </c>
      <c r="G11">
        <v>2.4177498218629498</v>
      </c>
      <c r="H11">
        <v>-8.4816716763447805E-2</v>
      </c>
    </row>
    <row r="12" spans="1:8" x14ac:dyDescent="0.35">
      <c r="A12">
        <f t="shared" si="0"/>
        <v>972.05338114766641</v>
      </c>
      <c r="B12">
        <v>-9.09495455798804E-2</v>
      </c>
      <c r="G12">
        <v>2.9876901152362501</v>
      </c>
      <c r="H12">
        <v>-9.09495455798804E-2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K_I_AS</vt:lpstr>
      <vt:lpstr>K_I_DS</vt:lpstr>
      <vt:lpstr>K_I_S</vt:lpstr>
      <vt:lpstr>K_II_AS</vt:lpstr>
      <vt:lpstr>K_II_DS</vt:lpstr>
      <vt:lpstr>K_II_S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Nasr Ghoniem</dc:creator>
  <cp:lastModifiedBy>Nasr Ghoniem</cp:lastModifiedBy>
  <dcterms:created xsi:type="dcterms:W3CDTF">2026-01-31T19:44:39Z</dcterms:created>
  <dcterms:modified xsi:type="dcterms:W3CDTF">2026-01-31T19:54:46Z</dcterms:modified>
</cp:coreProperties>
</file>